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NPC功能" sheetId="2" state="visible" r:id="rId4"/>
    <sheet name="加工鏈" sheetId="3" state="visible" r:id="rId5"/>
    <sheet name="生產" sheetId="4" state="visible" r:id="rId6"/>
    <sheet name="居民消耗" sheetId="5" state="visible" r:id="rId7"/>
    <sheet name="加工消耗" sheetId="6" state="visible" r:id="rId8"/>
    <sheet name="淨值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<sst xmlns="http://schemas.openxmlformats.org/spreadsheetml/2006/main" count="234" uniqueCount="113">
  <si>
    <r>
      <rPr>
        <b val="true"/>
        <sz val="14"/>
        <rFont val="Arial"/>
        <family val="0"/>
        <charset val="1"/>
      </rPr>
      <t xml:space="preserve">Living Economy</t>
    </r>
    <r>
      <rPr>
        <b val="true"/>
        <sz val="14"/>
        <rFont val="Noto Sans CJK SC"/>
        <family val="2"/>
      </rPr>
      <t xml:space="preserve">｜四城＋綠洲 設計試算表</t>
    </r>
  </si>
  <si>
    <t xml:space="preserve">用途</t>
  </si>
  <si>
    <r>
      <rPr>
        <sz val="10"/>
        <rFont val="Noto Sans CJK SC"/>
        <family val="2"/>
      </rPr>
      <t xml:space="preserve">檢查每城的 </t>
    </r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功能是否達最低配置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並檢查商品的生產與消耗在全世界是否長期失衡。</t>
    </r>
  </si>
  <si>
    <t xml:space="preserve">分頁</t>
  </si>
  <si>
    <r>
      <rPr>
        <sz val="10"/>
        <rFont val="Arial"/>
        <family val="0"/>
        <charset val="1"/>
      </rPr>
      <t xml:space="preserve">NPC</t>
    </r>
    <r>
      <rPr>
        <sz val="10"/>
        <rFont val="Noto Sans CJK SC"/>
        <family val="2"/>
      </rPr>
      <t xml:space="preserve">功能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三層 </t>
    </r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結構與各城配置、是否達標</t>
    </r>
  </si>
  <si>
    <r>
      <rPr>
        <sz val="10"/>
        <rFont val="Noto Sans CJK SC"/>
        <family val="2"/>
      </rPr>
      <t xml:space="preserve">加工鏈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各城加工者的產出與原料配方</t>
    </r>
  </si>
  <si>
    <r>
      <rPr>
        <sz val="10"/>
        <rFont val="Noto Sans CJK SC"/>
        <family val="2"/>
      </rPr>
      <t xml:space="preserve">生產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每日商品生產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原料手填、加工品由加工鏈計算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</si>
  <si>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居民消耗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每日居民需求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手填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</si>
  <si>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加工消耗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加工者每日原料需求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由加工鏈計算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</si>
  <si>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淨值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生產 − 居民消耗 − 加工消耗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負數＝需進口、正數＝可出口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並判斷全域短缺或過剩</t>
    </r>
  </si>
  <si>
    <t xml:space="preserve">色彩</t>
  </si>
  <si>
    <r>
      <rPr>
        <sz val="10"/>
        <rFont val="Noto Sans CJK SC"/>
        <family val="2"/>
      </rPr>
      <t xml:space="preserve">藍字＝可修改的輸入值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黑字＝公式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請勿覆蓋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黃底＝關鍵假設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容許差距比例、各城最低功能數</t>
    </r>
    <r>
      <rPr>
        <sz val="10"/>
        <rFont val="Arial"/>
        <family val="0"/>
        <charset val="1"/>
      </rPr>
      <t xml:space="preserve">)</t>
    </r>
  </si>
  <si>
    <t xml:space="preserve">重要假設</t>
  </si>
  <si>
    <r>
      <rPr>
        <sz val="10"/>
        <rFont val="Noto Sans CJK SC"/>
        <family val="2"/>
      </rPr>
      <t xml:space="preserve">所有數字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產量、配方、消耗量、最低功能數、容許差距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皆為示範用暫定值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為了讓模型能運算而設定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不是遊戲既有資料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請依實際設計調整。</t>
    </r>
  </si>
  <si>
    <t xml:space="preserve">設計來源</t>
  </si>
  <si>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三層結構與四城分工來自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的討論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加工者依賴外城原料的設計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是為了讓每城無法自給自足。</t>
    </r>
  </si>
  <si>
    <r>
      <rPr>
        <b val="true"/>
        <sz val="14"/>
        <rFont val="Noto Sans CJK SC"/>
        <family val="2"/>
      </rPr>
      <t xml:space="preserve">各城 </t>
    </r>
    <r>
      <rPr>
        <b val="true"/>
        <sz val="14"/>
        <rFont val="Arial"/>
        <family val="0"/>
        <charset val="1"/>
      </rPr>
      <t xml:space="preserve">NPC </t>
    </r>
    <r>
      <rPr>
        <b val="true"/>
        <sz val="14"/>
        <rFont val="Noto Sans CJK SC"/>
        <family val="2"/>
      </rPr>
      <t xml:space="preserve">功能配置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</si>
  <si>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＝有、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＝無。「計入最低數量」為「是」的功能才會計入達標判斷。</t>
    </r>
  </si>
  <si>
    <t xml:space="preserve">層級</t>
  </si>
  <si>
    <r>
      <rPr>
        <b val="true"/>
        <sz val="10"/>
        <color rgb="FFFFFFFF"/>
        <rFont val="Noto Sans CJK SC"/>
        <family val="2"/>
      </rPr>
      <t xml:space="preserve">功能／</t>
    </r>
    <r>
      <rPr>
        <b val="true"/>
        <sz val="10"/>
        <color rgb="FFFFFFFF"/>
        <rFont val="Arial"/>
        <family val="0"/>
        <charset val="1"/>
      </rPr>
      <t xml:space="preserve">NPC</t>
    </r>
  </si>
  <si>
    <t xml:space="preserve">作用</t>
  </si>
  <si>
    <t xml:space="preserve">計入最低數量</t>
  </si>
  <si>
    <t xml:space="preserve">北方礦城</t>
  </si>
  <si>
    <t xml:space="preserve">東方遊牧聚落</t>
  </si>
  <si>
    <t xml:space="preserve">南方港口</t>
  </si>
  <si>
    <t xml:space="preserve">西方森林村</t>
  </si>
  <si>
    <t xml:space="preserve">中央綠洲</t>
  </si>
  <si>
    <t xml:space="preserve">備註</t>
  </si>
  <si>
    <r>
      <rPr>
        <sz val="10"/>
        <rFont val="Noto Sans CJK SC"/>
        <family val="2"/>
      </rPr>
      <t xml:space="preserve">第一層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基礎服務</t>
    </r>
  </si>
  <si>
    <t xml:space="preserve">工會</t>
  </si>
  <si>
    <r>
      <rPr>
        <sz val="10"/>
        <rFont val="Noto Sans CJK SC"/>
        <family val="2"/>
      </rPr>
      <t xml:space="preserve">公布需求與委託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連接商人與冒險者</t>
    </r>
  </si>
  <si>
    <t xml:space="preserve">是</t>
  </si>
  <si>
    <r>
      <rPr>
        <sz val="10"/>
        <rFont val="Noto Sans CJK SC"/>
        <family val="2"/>
      </rPr>
      <t xml:space="preserve">綠洲不是城市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不設工會</t>
    </r>
  </si>
  <si>
    <t xml:space="preserve">旅宿</t>
  </si>
  <si>
    <r>
      <rPr>
        <sz val="10"/>
        <rFont val="Noto Sans CJK SC"/>
        <family val="2"/>
      </rPr>
      <t xml:space="preserve">休息的時間成本轉成金錢成本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冒險者落腳處</t>
    </r>
  </si>
  <si>
    <t xml:space="preserve">餐廳／補給</t>
  </si>
  <si>
    <r>
      <rPr>
        <sz val="10"/>
        <rFont val="Noto Sans CJK SC"/>
        <family val="2"/>
      </rPr>
      <t xml:space="preserve">居民與旅人消費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商隊出發前買乾糧、水</t>
    </r>
  </si>
  <si>
    <t xml:space="preserve">可先合併為一個</t>
  </si>
  <si>
    <t xml:space="preserve">市場攤販</t>
  </si>
  <si>
    <r>
      <rPr>
        <sz val="10"/>
        <rFont val="Noto Sans CJK SC"/>
        <family val="2"/>
      </rPr>
      <t xml:space="preserve">買賣場所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價格在此形成</t>
    </r>
  </si>
  <si>
    <r>
      <rPr>
        <sz val="10"/>
        <rFont val="Noto Sans CJK SC"/>
        <family val="2"/>
      </rPr>
      <t xml:space="preserve">第二層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原料生產者</t>
    </r>
  </si>
  <si>
    <t xml:space="preserve">礦工</t>
  </si>
  <si>
    <t xml:space="preserve">產出礦石</t>
  </si>
  <si>
    <t xml:space="preserve">牧人</t>
  </si>
  <si>
    <t xml:space="preserve">產出牲畜</t>
  </si>
  <si>
    <t xml:space="preserve">漁夫</t>
  </si>
  <si>
    <t xml:space="preserve">產出海產</t>
  </si>
  <si>
    <t xml:space="preserve">伐木工</t>
  </si>
  <si>
    <t xml:space="preserve">產出木材</t>
  </si>
  <si>
    <r>
      <rPr>
        <sz val="10"/>
        <rFont val="Noto Sans CJK SC"/>
        <family val="2"/>
      </rPr>
      <t xml:space="preserve">第二層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加工者</t>
    </r>
  </si>
  <si>
    <t xml:space="preserve">鐵匠</t>
  </si>
  <si>
    <t xml:space="preserve">礦石→鐵器</t>
  </si>
  <si>
    <r>
      <rPr>
        <sz val="10"/>
        <rFont val="Noto Sans CJK SC"/>
        <family val="2"/>
      </rPr>
      <t xml:space="preserve">另需外城木材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燃料</t>
    </r>
    <r>
      <rPr>
        <sz val="10"/>
        <rFont val="Arial"/>
        <family val="0"/>
        <charset val="1"/>
      </rPr>
      <t xml:space="preserve">)</t>
    </r>
  </si>
  <si>
    <t xml:space="preserve">皮革工</t>
  </si>
  <si>
    <t xml:space="preserve">牲畜→皮革</t>
  </si>
  <si>
    <t xml:space="preserve">另需外城木材</t>
  </si>
  <si>
    <t xml:space="preserve">醃製師</t>
  </si>
  <si>
    <t xml:space="preserve">海產→鹽漬海產</t>
  </si>
  <si>
    <r>
      <rPr>
        <sz val="10"/>
        <rFont val="Noto Sans CJK SC"/>
        <family val="2"/>
      </rPr>
      <t xml:space="preserve">另需外城礦石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鹽</t>
    </r>
    <r>
      <rPr>
        <sz val="10"/>
        <rFont val="Arial"/>
        <family val="0"/>
        <charset val="1"/>
      </rPr>
      <t xml:space="preserve">)</t>
    </r>
  </si>
  <si>
    <t xml:space="preserve">木匠</t>
  </si>
  <si>
    <t xml:space="preserve">木材→家具</t>
  </si>
  <si>
    <r>
      <rPr>
        <sz val="10"/>
        <rFont val="Noto Sans CJK SC"/>
        <family val="2"/>
      </rPr>
      <t xml:space="preserve">另需外城鐵器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釘、鋸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</si>
  <si>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第三層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居民需求</t>
    </r>
  </si>
  <si>
    <t xml:space="preserve">居民群體</t>
  </si>
  <si>
    <r>
      <rPr>
        <sz val="10"/>
        <rFont val="Noto Sans CJK SC"/>
        <family val="2"/>
      </rPr>
      <t xml:space="preserve">每日固定消耗食物、日用品、工具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可先不做成有名字的 </t>
    </r>
    <r>
      <rPr>
        <sz val="10"/>
        <rFont val="Arial"/>
        <family val="0"/>
        <charset val="1"/>
      </rPr>
      <t xml:space="preserve">NPC)</t>
    </r>
  </si>
  <si>
    <t xml:space="preserve">否</t>
  </si>
  <si>
    <r>
      <rPr>
        <sz val="10"/>
        <rFont val="Noto Sans CJK SC"/>
        <family val="2"/>
      </rPr>
      <t xml:space="preserve">隱形需求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見「居民消耗」</t>
    </r>
  </si>
  <si>
    <t xml:space="preserve">各地計入功能數</t>
  </si>
  <si>
    <t xml:space="preserve">最低要求</t>
  </si>
  <si>
    <t xml:space="preserve">狀態</t>
  </si>
  <si>
    <r>
      <rPr>
        <i val="true"/>
        <sz val="9"/>
        <color rgb="FF595959"/>
        <rFont val="Noto Sans CJK SC"/>
        <family val="2"/>
      </rPr>
      <t xml:space="preserve">假設</t>
    </r>
    <r>
      <rPr>
        <i val="true"/>
        <sz val="9"/>
        <color rgb="FF595959"/>
        <rFont val="Arial"/>
        <family val="0"/>
        <charset val="1"/>
      </rPr>
      <t xml:space="preserve">:</t>
    </r>
    <r>
      <rPr>
        <i val="true"/>
        <sz val="9"/>
        <color rgb="FF595959"/>
        <rFont val="Noto Sans CJK SC"/>
        <family val="2"/>
      </rPr>
      <t xml:space="preserve">四城最低 </t>
    </r>
    <r>
      <rPr>
        <i val="true"/>
        <sz val="9"/>
        <color rgb="FF595959"/>
        <rFont val="Arial"/>
        <family val="0"/>
        <charset val="1"/>
      </rPr>
      <t xml:space="preserve">6 </t>
    </r>
    <r>
      <rPr>
        <i val="true"/>
        <sz val="9"/>
        <color rgb="FF595959"/>
        <rFont val="Noto Sans CJK SC"/>
        <family val="2"/>
      </rPr>
      <t xml:space="preserve">個功能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工會、旅宿、餐廳／補給、市場攤販、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個原料生產者、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個加工者</t>
    </r>
    <r>
      <rPr>
        <i val="true"/>
        <sz val="9"/>
        <color rgb="FF595959"/>
        <rFont val="Arial"/>
        <family val="0"/>
        <charset val="1"/>
      </rPr>
      <t xml:space="preserve">);</t>
    </r>
    <r>
      <rPr>
        <i val="true"/>
        <sz val="9"/>
        <color rgb="FF595959"/>
        <rFont val="Noto Sans CJK SC"/>
        <family val="2"/>
      </rPr>
      <t xml:space="preserve">綠洲為服務型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最低 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Noto Sans CJK SC"/>
        <family val="2"/>
      </rPr>
      <t xml:space="preserve">個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旅宿、餐廳／補給、市場攤販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。市場攤販之前的「</t>
    </r>
    <r>
      <rPr>
        <i val="true"/>
        <sz val="9"/>
        <color rgb="FF595959"/>
        <rFont val="Arial"/>
        <family val="0"/>
        <charset val="1"/>
      </rPr>
      <t xml:space="preserve">5 </t>
    </r>
    <r>
      <rPr>
        <i val="true"/>
        <sz val="9"/>
        <color rgb="FF595959"/>
        <rFont val="Noto Sans CJK SC"/>
        <family val="2"/>
      </rPr>
      <t xml:space="preserve">個功能」說法未列入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但價格形成需要它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故此處設為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</si>
  <si>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加工鏈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Noto Sans CJK SC"/>
        <family val="2"/>
      </rPr>
      <t xml:space="preserve">加工者產出與原料配方</t>
    </r>
  </si>
  <si>
    <r>
      <rPr>
        <i val="true"/>
        <sz val="9"/>
        <color rgb="FF595959"/>
        <rFont val="Noto Sans CJK SC"/>
        <family val="2"/>
      </rPr>
      <t xml:space="preserve">每個加工者至少依賴一種外城原料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城市才無法自給自足。</t>
    </r>
  </si>
  <si>
    <t xml:space="preserve">城市</t>
  </si>
  <si>
    <t xml:space="preserve">加工者</t>
  </si>
  <si>
    <t xml:space="preserve">產出品</t>
  </si>
  <si>
    <t xml:space="preserve">每日產出量</t>
  </si>
  <si>
    <r>
      <rPr>
        <b val="true"/>
        <sz val="10"/>
        <color rgb="FFFFFFFF"/>
        <rFont val="Noto Sans CJK SC"/>
        <family val="2"/>
      </rPr>
      <t xml:space="preserve">原料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</si>
  <si>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每單位產出需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</si>
  <si>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原料</t>
    </r>
    <r>
      <rPr>
        <b val="true"/>
        <sz val="10"/>
        <color rgb="FFFFFFFF"/>
        <rFont val="Arial"/>
        <family val="0"/>
        <charset val="1"/>
      </rPr>
      <t xml:space="preserve">B(</t>
    </r>
    <r>
      <rPr>
        <b val="true"/>
        <sz val="10"/>
        <color rgb="FFFFFFFF"/>
        <rFont val="Noto Sans CJK SC"/>
        <family val="2"/>
      </rPr>
      <t xml:space="preserve">外城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</si>
  <si>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每單位產出需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</si>
  <si>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每日需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</si>
  <si>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每日需</t>
    </r>
    <r>
      <rPr>
        <b val="true"/>
        <sz val="10"/>
        <color rgb="FFFFFFFF"/>
        <rFont val="Arial"/>
        <family val="0"/>
        <charset val="1"/>
      </rPr>
      <t xml:space="preserve">B</t>
    </r>
  </si>
  <si>
    <t xml:space="preserve">鐵器</t>
  </si>
  <si>
    <t xml:space="preserve">礦石</t>
  </si>
  <si>
    <t xml:space="preserve">木材</t>
  </si>
  <si>
    <t xml:space="preserve">家具</t>
  </si>
  <si>
    <t xml:space="preserve">皮革</t>
  </si>
  <si>
    <t xml:space="preserve">牲畜</t>
  </si>
  <si>
    <t xml:space="preserve">鹽漬海產</t>
  </si>
  <si>
    <t xml:space="preserve">海產</t>
  </si>
  <si>
    <r>
      <rPr>
        <i val="true"/>
        <sz val="9"/>
        <color rgb="FF595959"/>
        <rFont val="Noto Sans CJK SC"/>
        <family val="2"/>
      </rPr>
      <t xml:space="preserve">配方數值皆為示範用暫定值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由 </t>
    </r>
    <r>
      <rPr>
        <i val="true"/>
        <sz val="9"/>
        <color rgb="FF595959"/>
        <rFont val="Arial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設定</t>
    </r>
    <r>
      <rPr>
        <i val="true"/>
        <sz val="9"/>
        <color rgb="FF595959"/>
        <rFont val="Arial"/>
        <family val="0"/>
        <charset val="1"/>
      </rPr>
      <t xml:space="preserve">),</t>
    </r>
    <r>
      <rPr>
        <i val="true"/>
        <sz val="9"/>
        <color rgb="FF595959"/>
        <rFont val="Noto Sans CJK SC"/>
        <family val="2"/>
      </rPr>
      <t xml:space="preserve">請依實際設計調整。</t>
    </r>
  </si>
  <si>
    <r>
      <rPr>
        <b val="true"/>
        <sz val="14"/>
        <rFont val="Noto Sans CJK SC"/>
        <family val="2"/>
      </rPr>
      <t xml:space="preserve">每日商品生產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單位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</si>
  <si>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原料為手填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藍字</t>
    </r>
    <r>
      <rPr>
        <i val="true"/>
        <sz val="9"/>
        <color rgb="FF595959"/>
        <rFont val="Arial"/>
        <family val="0"/>
        <charset val="1"/>
      </rPr>
      <t xml:space="preserve">);</t>
    </r>
    <r>
      <rPr>
        <i val="true"/>
        <sz val="9"/>
        <color rgb="FF595959"/>
        <rFont val="Noto Sans CJK SC"/>
        <family val="2"/>
      </rPr>
      <t xml:space="preserve">加工品由「加工鏈」自動計算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黑字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</si>
  <si>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品項</t>
  </si>
  <si>
    <t xml:space="preserve">類型</t>
  </si>
  <si>
    <t xml:space="preserve">原料</t>
  </si>
  <si>
    <t xml:space="preserve">加工品</t>
  </si>
  <si>
    <r>
      <rPr>
        <i val="true"/>
        <sz val="9"/>
        <color rgb="FF595959"/>
        <rFont val="Noto Sans CJK SC"/>
        <family val="2"/>
      </rPr>
      <t xml:space="preserve">原料產量為示範用暫定值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由 </t>
    </r>
    <r>
      <rPr>
        <i val="true"/>
        <sz val="9"/>
        <color rgb="FF595959"/>
        <rFont val="Arial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設定</t>
    </r>
    <r>
      <rPr>
        <i val="true"/>
        <sz val="9"/>
        <color rgb="FF595959"/>
        <rFont val="Arial"/>
        <family val="0"/>
        <charset val="1"/>
      </rPr>
      <t xml:space="preserve">),</t>
    </r>
    <r>
      <rPr>
        <i val="true"/>
        <sz val="9"/>
        <color rgb="FF595959"/>
        <rFont val="Noto Sans CJK SC"/>
        <family val="2"/>
      </rPr>
      <t xml:space="preserve">請依實際設計調整。</t>
    </r>
  </si>
  <si>
    <r>
      <rPr>
        <b val="true"/>
        <sz val="14"/>
        <rFont val="Noto Sans CJK SC"/>
        <family val="2"/>
      </rPr>
      <t xml:space="preserve">每日居民需求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單位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</si>
  <si>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居民與旅人的日常消耗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全部手填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藍字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</si>
  <si>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i val="true"/>
        <sz val="9"/>
        <color rgb="FF595959"/>
        <rFont val="Noto Sans CJK SC"/>
        <family val="2"/>
      </rPr>
      <t xml:space="preserve">消耗量為示範用暫定值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由 </t>
    </r>
    <r>
      <rPr>
        <i val="true"/>
        <sz val="9"/>
        <color rgb="FF595959"/>
        <rFont val="Arial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設定</t>
    </r>
    <r>
      <rPr>
        <i val="true"/>
        <sz val="9"/>
        <color rgb="FF595959"/>
        <rFont val="Arial"/>
        <family val="0"/>
        <charset val="1"/>
      </rPr>
      <t xml:space="preserve">),</t>
    </r>
    <r>
      <rPr>
        <i val="true"/>
        <sz val="9"/>
        <color rgb="FF595959"/>
        <rFont val="Noto Sans CJK SC"/>
        <family val="2"/>
      </rPr>
      <t xml:space="preserve">請依實際設計調整。</t>
    </r>
  </si>
  <si>
    <r>
      <rPr>
        <b val="true"/>
        <sz val="14"/>
        <rFont val="Noto Sans CJK SC"/>
        <family val="2"/>
      </rPr>
      <t xml:space="preserve">加工者每日原料需求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單位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</si>
  <si>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由「加工鏈」自動計算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請勿手動覆蓋。</t>
    </r>
  </si>
  <si>
    <r>
      <rPr>
        <b val="true"/>
        <sz val="14"/>
        <rFont val="Noto Sans CJK SC"/>
        <family val="2"/>
      </rPr>
      <t xml:space="preserve">淨值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Noto Sans CJK SC"/>
        <family val="2"/>
      </rPr>
      <t xml:space="preserve">生產 − 居民消耗 − 加工消耗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單位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日</t>
    </r>
    <r>
      <rPr>
        <b val="true"/>
        <sz val="14"/>
        <rFont val="Arial"/>
        <family val="0"/>
        <charset val="1"/>
      </rPr>
      <t xml:space="preserve">)</t>
    </r>
  </si>
  <si>
    <t xml:space="preserve">容許差距比例</t>
  </si>
  <si>
    <r>
      <rPr>
        <i val="true"/>
        <sz val="9"/>
        <color rgb="FF595959"/>
        <rFont val="Noto Sans CJK SC"/>
        <family val="2"/>
      </rPr>
      <t xml:space="preserve">全域淨額超出總需求的此比例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才判定為短缺或過剩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暫定值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</si>
  <si>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全域生產</t>
  </si>
  <si>
    <t xml:space="preserve">全域需求</t>
  </si>
  <si>
    <t xml:space="preserve">全域淨額</t>
  </si>
  <si>
    <r>
      <rPr>
        <b val="true"/>
        <sz val="10"/>
        <rFont val="Noto Sans CJK SC"/>
        <family val="2"/>
      </rPr>
      <t xml:space="preserve">需進口品項數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淨值</t>
    </r>
    <r>
      <rPr>
        <b val="true"/>
        <sz val="10"/>
        <rFont val="Arial"/>
        <family val="0"/>
        <charset val="1"/>
      </rPr>
      <t xml:space="preserve">&lt;0)</t>
    </r>
  </si>
  <si>
    <r>
      <rPr>
        <b val="true"/>
        <sz val="10"/>
        <rFont val="Noto Sans CJK SC"/>
        <family val="2"/>
      </rPr>
      <t xml:space="preserve">可出口品項數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淨值</t>
    </r>
    <r>
      <rPr>
        <b val="true"/>
        <sz val="10"/>
        <rFont val="Arial"/>
        <family val="0"/>
        <charset val="1"/>
      </rPr>
      <t xml:space="preserve">&gt;0)</t>
    </r>
  </si>
  <si>
    <r>
      <rPr>
        <i val="true"/>
        <sz val="9"/>
        <color rgb="FF595959"/>
        <rFont val="Noto Sans CJK SC"/>
        <family val="2"/>
      </rPr>
      <t xml:space="preserve">讀法</t>
    </r>
    <r>
      <rPr>
        <i val="true"/>
        <sz val="9"/>
        <color rgb="FF595959"/>
        <rFont val="Arial"/>
        <family val="0"/>
        <charset val="1"/>
      </rPr>
      <t xml:space="preserve">:</t>
    </r>
    <r>
      <rPr>
        <i val="true"/>
        <sz val="9"/>
        <color rgb="FF595959"/>
        <rFont val="Noto Sans CJK SC"/>
        <family val="2"/>
      </rPr>
      <t xml:space="preserve">負數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紅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＝該地需從外地進口</t>
    </r>
    <r>
      <rPr>
        <i val="true"/>
        <sz val="9"/>
        <color rgb="FF595959"/>
        <rFont val="Arial"/>
        <family val="0"/>
        <charset val="1"/>
      </rPr>
      <t xml:space="preserve">;</t>
    </r>
    <r>
      <rPr>
        <i val="true"/>
        <sz val="9"/>
        <color rgb="FF595959"/>
        <rFont val="Noto Sans CJK SC"/>
        <family val="2"/>
      </rPr>
      <t xml:space="preserve">正數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綠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＝有餘裕可出口。全域淨額長期為負的品項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代表整個世界供不應求。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</si>
</sst>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;\(0.0\);\-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5"/>
  </cols>
  <sheetData>
    <row r="1" customFormat="false" ht="21.6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4" t="s">
        <v>4</v>
      </c>
    </row>
    <row r="5" customFormat="false" ht="18" hidden="false" customHeight="true" outlineLevel="0" collapsed="false">
      <c r="A5" s="2"/>
      <c r="B5" s="3" t="s">
        <v>5</v>
      </c>
    </row>
    <row r="6" customFormat="false" ht="18" hidden="false" customHeight="true" outlineLevel="0" collapsed="false">
      <c r="A6" s="2"/>
      <c r="B6" s="3" t="s">
        <v>6</v>
      </c>
    </row>
    <row r="7" customFormat="false" ht="18" hidden="false" customHeight="true" outlineLevel="0" collapsed="false">
      <c r="A7" s="2"/>
      <c r="B7" s="3" t="s">
        <v>7</v>
      </c>
    </row>
    <row r="8" customFormat="false" ht="18" hidden="false" customHeight="true" outlineLevel="0" collapsed="false">
      <c r="A8" s="2"/>
      <c r="B8" s="3" t="s">
        <v>8</v>
      </c>
    </row>
    <row r="9" customFormat="false" ht="18" hidden="false" customHeight="true" outlineLevel="0" collapsed="false">
      <c r="A9" s="2"/>
      <c r="B9" s="3" t="s">
        <v>9</v>
      </c>
    </row>
    <row r="10" customFormat="false" ht="31.5" hidden="false" customHeight="true" outlineLevel="0" collapsed="false">
      <c r="A10" s="2" t="s">
        <v>10</v>
      </c>
      <c r="B10" s="3" t="s">
        <v>11</v>
      </c>
    </row>
    <row r="11" customFormat="false" ht="31.5" hidden="false" customHeight="true" outlineLevel="0" collapsed="false">
      <c r="A11" s="2" t="s">
        <v>12</v>
      </c>
      <c r="B11" s="3" t="s">
        <v>13</v>
      </c>
    </row>
    <row r="12" customFormat="false" ht="18" hidden="false" customHeight="true" outlineLevel="0" collapsed="false">
      <c r="A12" s="2" t="s">
        <v>14</v>
      </c>
      <c r="B1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24"/>
  </cols>
  <sheetData>
    <row r="1" customFormat="false" ht="21.6" hidden="false" customHeight="false" outlineLevel="0" collapsed="false">
      <c r="A1" s="5" t="s">
        <v>16</v>
      </c>
    </row>
    <row r="2" customFormat="false" ht="15" hidden="false" customHeight="false" outlineLevel="0" collapsed="false">
      <c r="A2" s="6" t="s">
        <v>17</v>
      </c>
    </row>
    <row r="4" customFormat="false" ht="15" hidden="false" customHeight="fals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</row>
    <row r="5" customFormat="false" ht="15" hidden="false" customHeight="false" outlineLevel="0" collapsed="false">
      <c r="A5" s="8" t="s">
        <v>28</v>
      </c>
      <c r="B5" s="9" t="s">
        <v>29</v>
      </c>
      <c r="C5" s="9" t="s">
        <v>30</v>
      </c>
      <c r="D5" s="10" t="s">
        <v>31</v>
      </c>
      <c r="E5" s="11" t="n">
        <v>1</v>
      </c>
      <c r="F5" s="11" t="n">
        <v>1</v>
      </c>
      <c r="G5" s="11" t="n">
        <v>1</v>
      </c>
      <c r="H5" s="11" t="n">
        <v>1</v>
      </c>
      <c r="I5" s="11" t="n">
        <v>0</v>
      </c>
      <c r="J5" s="9" t="s">
        <v>32</v>
      </c>
    </row>
    <row r="6" customFormat="false" ht="15" hidden="false" customHeight="false" outlineLevel="0" collapsed="false">
      <c r="A6" s="8" t="s">
        <v>28</v>
      </c>
      <c r="B6" s="9" t="s">
        <v>33</v>
      </c>
      <c r="C6" s="9" t="s">
        <v>34</v>
      </c>
      <c r="D6" s="10" t="s">
        <v>31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9"/>
    </row>
    <row r="7" customFormat="false" ht="15" hidden="false" customHeight="false" outlineLevel="0" collapsed="false">
      <c r="A7" s="8" t="s">
        <v>28</v>
      </c>
      <c r="B7" s="9" t="s">
        <v>35</v>
      </c>
      <c r="C7" s="9" t="s">
        <v>36</v>
      </c>
      <c r="D7" s="10" t="s">
        <v>31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9" t="s">
        <v>37</v>
      </c>
    </row>
    <row r="8" customFormat="false" ht="15" hidden="false" customHeight="false" outlineLevel="0" collapsed="false">
      <c r="A8" s="8" t="s">
        <v>28</v>
      </c>
      <c r="B8" s="9" t="s">
        <v>38</v>
      </c>
      <c r="C8" s="9" t="s">
        <v>39</v>
      </c>
      <c r="D8" s="10" t="s">
        <v>31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9"/>
    </row>
    <row r="9" customFormat="false" ht="15" hidden="false" customHeight="false" outlineLevel="0" collapsed="false">
      <c r="A9" s="8" t="s">
        <v>40</v>
      </c>
      <c r="B9" s="9" t="s">
        <v>41</v>
      </c>
      <c r="C9" s="9" t="s">
        <v>42</v>
      </c>
      <c r="D9" s="10" t="s">
        <v>31</v>
      </c>
      <c r="E9" s="11" t="n">
        <v>1</v>
      </c>
      <c r="F9" s="11" t="n">
        <v>0</v>
      </c>
      <c r="G9" s="11" t="n">
        <v>0</v>
      </c>
      <c r="H9" s="11" t="n">
        <v>0</v>
      </c>
      <c r="I9" s="11" t="n">
        <v>0</v>
      </c>
      <c r="J9" s="9"/>
    </row>
    <row r="10" customFormat="false" ht="15" hidden="false" customHeight="false" outlineLevel="0" collapsed="false">
      <c r="A10" s="8" t="s">
        <v>40</v>
      </c>
      <c r="B10" s="9" t="s">
        <v>43</v>
      </c>
      <c r="C10" s="9" t="s">
        <v>44</v>
      </c>
      <c r="D10" s="10" t="s">
        <v>31</v>
      </c>
      <c r="E10" s="11" t="n">
        <v>0</v>
      </c>
      <c r="F10" s="11" t="n">
        <v>1</v>
      </c>
      <c r="G10" s="11" t="n">
        <v>0</v>
      </c>
      <c r="H10" s="11" t="n">
        <v>0</v>
      </c>
      <c r="I10" s="11" t="n">
        <v>0</v>
      </c>
      <c r="J10" s="9"/>
    </row>
    <row r="11" customFormat="false" ht="15" hidden="false" customHeight="false" outlineLevel="0" collapsed="false">
      <c r="A11" s="8" t="s">
        <v>40</v>
      </c>
      <c r="B11" s="9" t="s">
        <v>45</v>
      </c>
      <c r="C11" s="9" t="s">
        <v>46</v>
      </c>
      <c r="D11" s="10" t="s">
        <v>31</v>
      </c>
      <c r="E11" s="11" t="n">
        <v>0</v>
      </c>
      <c r="F11" s="11" t="n">
        <v>0</v>
      </c>
      <c r="G11" s="11" t="n">
        <v>1</v>
      </c>
      <c r="H11" s="11" t="n">
        <v>0</v>
      </c>
      <c r="I11" s="11" t="n">
        <v>0</v>
      </c>
      <c r="J11" s="9"/>
    </row>
    <row r="12" customFormat="false" ht="15" hidden="false" customHeight="false" outlineLevel="0" collapsed="false">
      <c r="A12" s="8" t="s">
        <v>40</v>
      </c>
      <c r="B12" s="9" t="s">
        <v>47</v>
      </c>
      <c r="C12" s="9" t="s">
        <v>48</v>
      </c>
      <c r="D12" s="10" t="s">
        <v>31</v>
      </c>
      <c r="E12" s="11" t="n">
        <v>0</v>
      </c>
      <c r="F12" s="11" t="n">
        <v>0</v>
      </c>
      <c r="G12" s="11" t="n">
        <v>0</v>
      </c>
      <c r="H12" s="11" t="n">
        <v>1</v>
      </c>
      <c r="I12" s="11" t="n">
        <v>0</v>
      </c>
      <c r="J12" s="9"/>
    </row>
    <row r="13" customFormat="false" ht="15" hidden="false" customHeight="false" outlineLevel="0" collapsed="false">
      <c r="A13" s="8" t="s">
        <v>49</v>
      </c>
      <c r="B13" s="9" t="s">
        <v>50</v>
      </c>
      <c r="C13" s="9" t="s">
        <v>51</v>
      </c>
      <c r="D13" s="10" t="s">
        <v>31</v>
      </c>
      <c r="E13" s="11" t="n">
        <v>1</v>
      </c>
      <c r="F13" s="11" t="n">
        <v>0</v>
      </c>
      <c r="G13" s="11" t="n">
        <v>0</v>
      </c>
      <c r="H13" s="11" t="n">
        <v>0</v>
      </c>
      <c r="I13" s="11" t="n">
        <v>0</v>
      </c>
      <c r="J13" s="9" t="s">
        <v>52</v>
      </c>
    </row>
    <row r="14" customFormat="false" ht="15" hidden="false" customHeight="false" outlineLevel="0" collapsed="false">
      <c r="A14" s="8" t="s">
        <v>49</v>
      </c>
      <c r="B14" s="9" t="s">
        <v>53</v>
      </c>
      <c r="C14" s="9" t="s">
        <v>54</v>
      </c>
      <c r="D14" s="10" t="s">
        <v>31</v>
      </c>
      <c r="E14" s="11" t="n">
        <v>0</v>
      </c>
      <c r="F14" s="11" t="n">
        <v>1</v>
      </c>
      <c r="G14" s="11" t="n">
        <v>0</v>
      </c>
      <c r="H14" s="11" t="n">
        <v>0</v>
      </c>
      <c r="I14" s="11" t="n">
        <v>0</v>
      </c>
      <c r="J14" s="9" t="s">
        <v>55</v>
      </c>
    </row>
    <row r="15" customFormat="false" ht="15" hidden="false" customHeight="false" outlineLevel="0" collapsed="false">
      <c r="A15" s="8" t="s">
        <v>49</v>
      </c>
      <c r="B15" s="9" t="s">
        <v>56</v>
      </c>
      <c r="C15" s="9" t="s">
        <v>57</v>
      </c>
      <c r="D15" s="10" t="s">
        <v>31</v>
      </c>
      <c r="E15" s="11" t="n">
        <v>0</v>
      </c>
      <c r="F15" s="11" t="n">
        <v>0</v>
      </c>
      <c r="G15" s="11" t="n">
        <v>1</v>
      </c>
      <c r="H15" s="11" t="n">
        <v>0</v>
      </c>
      <c r="I15" s="11" t="n">
        <v>0</v>
      </c>
      <c r="J15" s="9" t="s">
        <v>58</v>
      </c>
    </row>
    <row r="16" customFormat="false" ht="15" hidden="false" customHeight="false" outlineLevel="0" collapsed="false">
      <c r="A16" s="8" t="s">
        <v>49</v>
      </c>
      <c r="B16" s="9" t="s">
        <v>59</v>
      </c>
      <c r="C16" s="9" t="s">
        <v>60</v>
      </c>
      <c r="D16" s="10" t="s">
        <v>31</v>
      </c>
      <c r="E16" s="11" t="n">
        <v>0</v>
      </c>
      <c r="F16" s="11" t="n">
        <v>0</v>
      </c>
      <c r="G16" s="11" t="n">
        <v>0</v>
      </c>
      <c r="H16" s="11" t="n">
        <v>1</v>
      </c>
      <c r="I16" s="11" t="n">
        <v>0</v>
      </c>
      <c r="J16" s="9" t="s">
        <v>61</v>
      </c>
    </row>
    <row r="17" customFormat="false" ht="29.85" hidden="false" customHeight="false" outlineLevel="0" collapsed="false">
      <c r="A17" s="8" t="s">
        <v>62</v>
      </c>
      <c r="B17" s="9" t="s">
        <v>63</v>
      </c>
      <c r="C17" s="9" t="s">
        <v>64</v>
      </c>
      <c r="D17" s="10" t="s">
        <v>65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0</v>
      </c>
      <c r="J17" s="9" t="s">
        <v>66</v>
      </c>
    </row>
    <row r="19" customFormat="false" ht="15" hidden="false" customHeight="false" outlineLevel="0" collapsed="false">
      <c r="B19" s="2" t="s">
        <v>67</v>
      </c>
      <c r="E19" s="10" t="n">
        <f aca="false">SUMIF($D$5:$D$17,"是",E5:E17)</f>
        <v>6</v>
      </c>
      <c r="F19" s="10" t="n">
        <f aca="false">SUMIF($D$5:$D$17,"是",F5:F17)</f>
        <v>6</v>
      </c>
      <c r="G19" s="10" t="n">
        <f aca="false">SUMIF($D$5:$D$17,"是",G5:G17)</f>
        <v>6</v>
      </c>
      <c r="H19" s="10" t="n">
        <f aca="false">SUMIF($D$5:$D$17,"是",H5:H17)</f>
        <v>6</v>
      </c>
      <c r="I19" s="10" t="n">
        <f aca="false">SUMIF($D$5:$D$17,"是",I5:I17)</f>
        <v>3</v>
      </c>
    </row>
    <row r="20" customFormat="false" ht="15" hidden="false" customHeight="false" outlineLevel="0" collapsed="false">
      <c r="B20" s="2" t="s">
        <v>68</v>
      </c>
      <c r="E20" s="12" t="n">
        <v>6</v>
      </c>
      <c r="F20" s="12" t="n">
        <v>6</v>
      </c>
      <c r="G20" s="12" t="n">
        <v>6</v>
      </c>
      <c r="H20" s="12" t="n">
        <v>6</v>
      </c>
      <c r="I20" s="12" t="n">
        <v>3</v>
      </c>
    </row>
    <row r="21" customFormat="false" ht="15" hidden="false" customHeight="false" outlineLevel="0" collapsed="false">
      <c r="B21" s="2" t="s">
        <v>69</v>
      </c>
      <c r="E21" s="13" t="str">
        <f aca="false">IF(E19&gt;=E20,"達標","不足")</f>
        <v>達標</v>
      </c>
      <c r="F21" s="13" t="str">
        <f aca="false">IF(F19&gt;=F20,"達標","不足")</f>
        <v>達標</v>
      </c>
      <c r="G21" s="13" t="str">
        <f aca="false">IF(G19&gt;=G20,"達標","不足")</f>
        <v>達標</v>
      </c>
      <c r="H21" s="13" t="str">
        <f aca="false">IF(H19&gt;=H20,"達標","不足")</f>
        <v>達標</v>
      </c>
      <c r="I21" s="13" t="str">
        <f aca="false">IF(I19&gt;=I20,"達標","不足")</f>
        <v>達標</v>
      </c>
    </row>
    <row r="23" customFormat="false" ht="15" hidden="false" customHeight="false" outlineLevel="0" collapsed="false">
      <c r="B23" s="14" t="s">
        <v>70</v>
      </c>
    </row>
  </sheetData>
  <conditionalFormatting sqref="E21:I21">
    <cfRule type="cellIs" priority="2" operator="equal" aboveAverage="0" equalAverage="0" bottom="0" percent="0" rank="0" text="" dxfId="0">
      <formula>"達標"</formula>
    </cfRule>
    <cfRule type="cellIs" priority="3" operator="equal" aboveAverage="0" equalAverage="0" bottom="0" percent="0" rank="0" text="" dxfId="1">
      <formula>"不足"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10"/>
  </cols>
  <sheetData>
    <row r="1" customFormat="false" ht="21.6" hidden="false" customHeight="false" outlineLevel="0" collapsed="false">
      <c r="A1" s="5" t="s">
        <v>71</v>
      </c>
    </row>
    <row r="2" customFormat="false" ht="15" hidden="false" customHeight="false" outlineLevel="0" collapsed="false">
      <c r="A2" s="14" t="s">
        <v>72</v>
      </c>
    </row>
    <row r="4" customFormat="false" ht="15" hidden="false" customHeight="false" outlineLevel="0" collapsed="false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</row>
    <row r="5" customFormat="false" ht="15" hidden="false" customHeight="false" outlineLevel="0" collapsed="false">
      <c r="A5" s="10" t="s">
        <v>22</v>
      </c>
      <c r="B5" s="10" t="s">
        <v>50</v>
      </c>
      <c r="C5" s="10" t="s">
        <v>83</v>
      </c>
      <c r="D5" s="15" t="n">
        <v>8</v>
      </c>
      <c r="E5" s="10" t="s">
        <v>84</v>
      </c>
      <c r="F5" s="15" t="n">
        <v>2</v>
      </c>
      <c r="G5" s="10" t="s">
        <v>85</v>
      </c>
      <c r="H5" s="15" t="n">
        <v>0.5</v>
      </c>
      <c r="I5" s="16" t="n">
        <f aca="false">D5*F5</f>
        <v>16</v>
      </c>
      <c r="J5" s="16" t="n">
        <f aca="false">D5*H5</f>
        <v>4</v>
      </c>
    </row>
    <row r="6" customFormat="false" ht="15" hidden="false" customHeight="false" outlineLevel="0" collapsed="false">
      <c r="A6" s="10" t="s">
        <v>25</v>
      </c>
      <c r="B6" s="10" t="s">
        <v>59</v>
      </c>
      <c r="C6" s="10" t="s">
        <v>86</v>
      </c>
      <c r="D6" s="15" t="n">
        <v>6</v>
      </c>
      <c r="E6" s="10" t="s">
        <v>85</v>
      </c>
      <c r="F6" s="15" t="n">
        <v>2</v>
      </c>
      <c r="G6" s="10" t="s">
        <v>83</v>
      </c>
      <c r="H6" s="15" t="n">
        <v>0.25</v>
      </c>
      <c r="I6" s="16" t="n">
        <f aca="false">D6*F6</f>
        <v>12</v>
      </c>
      <c r="J6" s="16" t="n">
        <f aca="false">D6*H6</f>
        <v>1.5</v>
      </c>
    </row>
    <row r="7" customFormat="false" ht="15" hidden="false" customHeight="false" outlineLevel="0" collapsed="false">
      <c r="A7" s="10" t="s">
        <v>23</v>
      </c>
      <c r="B7" s="10" t="s">
        <v>53</v>
      </c>
      <c r="C7" s="10" t="s">
        <v>87</v>
      </c>
      <c r="D7" s="15" t="n">
        <v>6</v>
      </c>
      <c r="E7" s="10" t="s">
        <v>88</v>
      </c>
      <c r="F7" s="15" t="n">
        <v>1</v>
      </c>
      <c r="G7" s="10" t="s">
        <v>85</v>
      </c>
      <c r="H7" s="15" t="n">
        <v>0.5</v>
      </c>
      <c r="I7" s="16" t="n">
        <f aca="false">D7*F7</f>
        <v>6</v>
      </c>
      <c r="J7" s="16" t="n">
        <f aca="false">D7*H7</f>
        <v>3</v>
      </c>
    </row>
    <row r="8" customFormat="false" ht="15" hidden="false" customHeight="false" outlineLevel="0" collapsed="false">
      <c r="A8" s="10" t="s">
        <v>24</v>
      </c>
      <c r="B8" s="10" t="s">
        <v>56</v>
      </c>
      <c r="C8" s="10" t="s">
        <v>89</v>
      </c>
      <c r="D8" s="15" t="n">
        <v>6</v>
      </c>
      <c r="E8" s="10" t="s">
        <v>90</v>
      </c>
      <c r="F8" s="15" t="n">
        <v>2</v>
      </c>
      <c r="G8" s="10" t="s">
        <v>84</v>
      </c>
      <c r="H8" s="15" t="n">
        <v>0.5</v>
      </c>
      <c r="I8" s="16" t="n">
        <f aca="false">D8*F8</f>
        <v>12</v>
      </c>
      <c r="J8" s="16" t="n">
        <f aca="false">D8*H8</f>
        <v>3</v>
      </c>
    </row>
    <row r="10" customFormat="false" ht="15" hidden="false" customHeight="false" outlineLevel="0" collapsed="false">
      <c r="A10" s="1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15"/>
  </cols>
  <sheetData>
    <row r="1" customFormat="false" ht="21.6" hidden="false" customHeight="false" outlineLevel="0" collapsed="false">
      <c r="A1" s="5" t="s">
        <v>92</v>
      </c>
    </row>
    <row r="2" customFormat="false" ht="15" hidden="false" customHeight="false" outlineLevel="0" collapsed="false">
      <c r="A2" s="14" t="s">
        <v>93</v>
      </c>
    </row>
    <row r="4" customFormat="false" ht="15" hidden="false" customHeight="false" outlineLevel="0" collapsed="false">
      <c r="A4" s="7" t="s">
        <v>94</v>
      </c>
      <c r="B4" s="7" t="s">
        <v>95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</row>
    <row r="5" customFormat="false" ht="15" hidden="false" customHeight="false" outlineLevel="0" collapsed="false">
      <c r="A5" s="10" t="s">
        <v>84</v>
      </c>
      <c r="B5" s="10" t="s">
        <v>96</v>
      </c>
      <c r="C5" s="17" t="n">
        <v>20</v>
      </c>
      <c r="D5" s="17" t="n">
        <v>0</v>
      </c>
      <c r="E5" s="17" t="n">
        <v>0</v>
      </c>
      <c r="F5" s="17" t="n">
        <v>0</v>
      </c>
      <c r="G5" s="17" t="n">
        <v>0</v>
      </c>
    </row>
    <row r="6" customFormat="false" ht="15" hidden="false" customHeight="false" outlineLevel="0" collapsed="false">
      <c r="A6" s="10" t="s">
        <v>85</v>
      </c>
      <c r="B6" s="10" t="s">
        <v>96</v>
      </c>
      <c r="C6" s="17" t="n">
        <v>0</v>
      </c>
      <c r="D6" s="17" t="n">
        <v>0</v>
      </c>
      <c r="E6" s="17" t="n">
        <v>0</v>
      </c>
      <c r="F6" s="17" t="n">
        <v>24</v>
      </c>
      <c r="G6" s="17" t="n">
        <v>0</v>
      </c>
    </row>
    <row r="7" customFormat="false" ht="15" hidden="false" customHeight="false" outlineLevel="0" collapsed="false">
      <c r="A7" s="10" t="s">
        <v>90</v>
      </c>
      <c r="B7" s="10" t="s">
        <v>96</v>
      </c>
      <c r="C7" s="17" t="n">
        <v>0</v>
      </c>
      <c r="D7" s="17" t="n">
        <v>0</v>
      </c>
      <c r="E7" s="17" t="n">
        <v>36</v>
      </c>
      <c r="F7" s="17" t="n">
        <v>0</v>
      </c>
      <c r="G7" s="17" t="n">
        <v>0</v>
      </c>
    </row>
    <row r="8" customFormat="false" ht="15" hidden="false" customHeight="false" outlineLevel="0" collapsed="false">
      <c r="A8" s="10" t="s">
        <v>88</v>
      </c>
      <c r="B8" s="10" t="s">
        <v>96</v>
      </c>
      <c r="C8" s="17" t="n">
        <v>0</v>
      </c>
      <c r="D8" s="17" t="n">
        <v>24</v>
      </c>
      <c r="E8" s="17" t="n">
        <v>0</v>
      </c>
      <c r="F8" s="17" t="n">
        <v>0</v>
      </c>
      <c r="G8" s="17" t="n">
        <v>0</v>
      </c>
    </row>
    <row r="9" customFormat="false" ht="15" hidden="false" customHeight="false" outlineLevel="0" collapsed="false">
      <c r="A9" s="10" t="s">
        <v>83</v>
      </c>
      <c r="B9" s="10" t="s">
        <v>97</v>
      </c>
      <c r="C9" s="16" t="n">
        <f aca="false">SUMIFS(加工鏈!$D$5:$D$8,加工鏈!$C$5:$C$8,$A9,加工鏈!$A$5:$A$8,C$4)</f>
        <v>8</v>
      </c>
      <c r="D9" s="16" t="n">
        <f aca="false">SUMIFS(加工鏈!$D$5:$D$8,加工鏈!$C$5:$C$8,$A9,加工鏈!$A$5:$A$8,D$4)</f>
        <v>0</v>
      </c>
      <c r="E9" s="16" t="n">
        <f aca="false">SUMIFS(加工鏈!$D$5:$D$8,加工鏈!$C$5:$C$8,$A9,加工鏈!$A$5:$A$8,E$4)</f>
        <v>0</v>
      </c>
      <c r="F9" s="16" t="n">
        <f aca="false">SUMIFS(加工鏈!$D$5:$D$8,加工鏈!$C$5:$C$8,$A9,加工鏈!$A$5:$A$8,F$4)</f>
        <v>0</v>
      </c>
      <c r="G9" s="16" t="n">
        <f aca="false">SUMIFS(加工鏈!$D$5:$D$8,加工鏈!$C$5:$C$8,$A9,加工鏈!$A$5:$A$8,G$4)</f>
        <v>0</v>
      </c>
    </row>
    <row r="10" customFormat="false" ht="15" hidden="false" customHeight="false" outlineLevel="0" collapsed="false">
      <c r="A10" s="10" t="s">
        <v>86</v>
      </c>
      <c r="B10" s="10" t="s">
        <v>97</v>
      </c>
      <c r="C10" s="16" t="n">
        <f aca="false">SUMIFS(加工鏈!$D$5:$D$8,加工鏈!$C$5:$C$8,$A10,加工鏈!$A$5:$A$8,C$4)</f>
        <v>0</v>
      </c>
      <c r="D10" s="16" t="n">
        <f aca="false">SUMIFS(加工鏈!$D$5:$D$8,加工鏈!$C$5:$C$8,$A10,加工鏈!$A$5:$A$8,D$4)</f>
        <v>0</v>
      </c>
      <c r="E10" s="16" t="n">
        <f aca="false">SUMIFS(加工鏈!$D$5:$D$8,加工鏈!$C$5:$C$8,$A10,加工鏈!$A$5:$A$8,E$4)</f>
        <v>0</v>
      </c>
      <c r="F10" s="16" t="n">
        <f aca="false">SUMIFS(加工鏈!$D$5:$D$8,加工鏈!$C$5:$C$8,$A10,加工鏈!$A$5:$A$8,F$4)</f>
        <v>6</v>
      </c>
      <c r="G10" s="16" t="n">
        <f aca="false">SUMIFS(加工鏈!$D$5:$D$8,加工鏈!$C$5:$C$8,$A10,加工鏈!$A$5:$A$8,G$4)</f>
        <v>0</v>
      </c>
    </row>
    <row r="11" customFormat="false" ht="15" hidden="false" customHeight="false" outlineLevel="0" collapsed="false">
      <c r="A11" s="10" t="s">
        <v>87</v>
      </c>
      <c r="B11" s="10" t="s">
        <v>97</v>
      </c>
      <c r="C11" s="16" t="n">
        <f aca="false">SUMIFS(加工鏈!$D$5:$D$8,加工鏈!$C$5:$C$8,$A11,加工鏈!$A$5:$A$8,C$4)</f>
        <v>0</v>
      </c>
      <c r="D11" s="16" t="n">
        <f aca="false">SUMIFS(加工鏈!$D$5:$D$8,加工鏈!$C$5:$C$8,$A11,加工鏈!$A$5:$A$8,D$4)</f>
        <v>6</v>
      </c>
      <c r="E11" s="16" t="n">
        <f aca="false">SUMIFS(加工鏈!$D$5:$D$8,加工鏈!$C$5:$C$8,$A11,加工鏈!$A$5:$A$8,E$4)</f>
        <v>0</v>
      </c>
      <c r="F11" s="16" t="n">
        <f aca="false">SUMIFS(加工鏈!$D$5:$D$8,加工鏈!$C$5:$C$8,$A11,加工鏈!$A$5:$A$8,F$4)</f>
        <v>0</v>
      </c>
      <c r="G11" s="16" t="n">
        <f aca="false">SUMIFS(加工鏈!$D$5:$D$8,加工鏈!$C$5:$C$8,$A11,加工鏈!$A$5:$A$8,G$4)</f>
        <v>0</v>
      </c>
    </row>
    <row r="12" customFormat="false" ht="15" hidden="false" customHeight="false" outlineLevel="0" collapsed="false">
      <c r="A12" s="10" t="s">
        <v>89</v>
      </c>
      <c r="B12" s="10" t="s">
        <v>97</v>
      </c>
      <c r="C12" s="16" t="n">
        <f aca="false">SUMIFS(加工鏈!$D$5:$D$8,加工鏈!$C$5:$C$8,$A12,加工鏈!$A$5:$A$8,C$4)</f>
        <v>0</v>
      </c>
      <c r="D12" s="16" t="n">
        <f aca="false">SUMIFS(加工鏈!$D$5:$D$8,加工鏈!$C$5:$C$8,$A12,加工鏈!$A$5:$A$8,D$4)</f>
        <v>0</v>
      </c>
      <c r="E12" s="16" t="n">
        <f aca="false">SUMIFS(加工鏈!$D$5:$D$8,加工鏈!$C$5:$C$8,$A12,加工鏈!$A$5:$A$8,E$4)</f>
        <v>6</v>
      </c>
      <c r="F12" s="16" t="n">
        <f aca="false">SUMIFS(加工鏈!$D$5:$D$8,加工鏈!$C$5:$C$8,$A12,加工鏈!$A$5:$A$8,F$4)</f>
        <v>0</v>
      </c>
      <c r="G12" s="16" t="n">
        <f aca="false">SUMIFS(加工鏈!$D$5:$D$8,加工鏈!$C$5:$C$8,$A12,加工鏈!$A$5:$A$8,G$4)</f>
        <v>0</v>
      </c>
    </row>
    <row r="14" customFormat="false" ht="15" hidden="false" customHeight="false" outlineLevel="0" collapsed="false">
      <c r="A14" s="1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15"/>
  </cols>
  <sheetData>
    <row r="1" customFormat="false" ht="21.6" hidden="false" customHeight="false" outlineLevel="0" collapsed="false">
      <c r="A1" s="5" t="s">
        <v>99</v>
      </c>
    </row>
    <row r="2" customFormat="false" ht="15" hidden="false" customHeight="false" outlineLevel="0" collapsed="false">
      <c r="A2" s="14" t="s">
        <v>100</v>
      </c>
    </row>
    <row r="4" customFormat="false" ht="15" hidden="false" customHeight="false" outlineLevel="0" collapsed="false">
      <c r="A4" s="7" t="s">
        <v>94</v>
      </c>
      <c r="B4" s="7" t="s">
        <v>95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</row>
    <row r="5" customFormat="false" ht="15" hidden="false" customHeight="false" outlineLevel="0" collapsed="false">
      <c r="A5" s="10" t="s">
        <v>84</v>
      </c>
      <c r="B5" s="10" t="s">
        <v>96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</row>
    <row r="6" customFormat="false" ht="15" hidden="false" customHeight="false" outlineLevel="0" collapsed="false">
      <c r="A6" s="10" t="s">
        <v>85</v>
      </c>
      <c r="B6" s="10" t="s">
        <v>96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0</v>
      </c>
    </row>
    <row r="7" customFormat="false" ht="15" hidden="false" customHeight="false" outlineLevel="0" collapsed="false">
      <c r="A7" s="10" t="s">
        <v>90</v>
      </c>
      <c r="B7" s="10" t="s">
        <v>96</v>
      </c>
      <c r="C7" s="17" t="n">
        <v>5</v>
      </c>
      <c r="D7" s="17" t="n">
        <v>5</v>
      </c>
      <c r="E7" s="17" t="n">
        <v>5</v>
      </c>
      <c r="F7" s="17" t="n">
        <v>5</v>
      </c>
      <c r="G7" s="17" t="n">
        <v>4</v>
      </c>
    </row>
    <row r="8" customFormat="false" ht="15" hidden="false" customHeight="false" outlineLevel="0" collapsed="false">
      <c r="A8" s="10" t="s">
        <v>88</v>
      </c>
      <c r="B8" s="10" t="s">
        <v>96</v>
      </c>
      <c r="C8" s="17" t="n">
        <v>5</v>
      </c>
      <c r="D8" s="17" t="n">
        <v>5</v>
      </c>
      <c r="E8" s="17" t="n">
        <v>3</v>
      </c>
      <c r="F8" s="17" t="n">
        <v>3</v>
      </c>
      <c r="G8" s="17" t="n">
        <v>2</v>
      </c>
    </row>
    <row r="9" customFormat="false" ht="15" hidden="false" customHeight="false" outlineLevel="0" collapsed="false">
      <c r="A9" s="10" t="s">
        <v>83</v>
      </c>
      <c r="B9" s="10" t="s">
        <v>97</v>
      </c>
      <c r="C9" s="17" t="n">
        <v>1.5</v>
      </c>
      <c r="D9" s="17" t="n">
        <v>1.5</v>
      </c>
      <c r="E9" s="17" t="n">
        <v>2</v>
      </c>
      <c r="F9" s="17" t="n">
        <v>1.5</v>
      </c>
      <c r="G9" s="17" t="n">
        <v>0</v>
      </c>
    </row>
    <row r="10" customFormat="false" ht="15" hidden="false" customHeight="false" outlineLevel="0" collapsed="false">
      <c r="A10" s="10" t="s">
        <v>86</v>
      </c>
      <c r="B10" s="10" t="s">
        <v>97</v>
      </c>
      <c r="C10" s="17" t="n">
        <v>1.5</v>
      </c>
      <c r="D10" s="17" t="n">
        <v>1</v>
      </c>
      <c r="E10" s="17" t="n">
        <v>1.5</v>
      </c>
      <c r="F10" s="17" t="n">
        <v>1</v>
      </c>
      <c r="G10" s="17" t="n">
        <v>1</v>
      </c>
    </row>
    <row r="11" customFormat="false" ht="15" hidden="false" customHeight="false" outlineLevel="0" collapsed="false">
      <c r="A11" s="10" t="s">
        <v>87</v>
      </c>
      <c r="B11" s="10" t="s">
        <v>97</v>
      </c>
      <c r="C11" s="17" t="n">
        <v>1.5</v>
      </c>
      <c r="D11" s="17" t="n">
        <v>1</v>
      </c>
      <c r="E11" s="17" t="n">
        <v>1</v>
      </c>
      <c r="F11" s="17" t="n">
        <v>1</v>
      </c>
      <c r="G11" s="17" t="n">
        <v>0.5</v>
      </c>
    </row>
    <row r="12" customFormat="false" ht="15" hidden="false" customHeight="false" outlineLevel="0" collapsed="false">
      <c r="A12" s="10" t="s">
        <v>89</v>
      </c>
      <c r="B12" s="10" t="s">
        <v>97</v>
      </c>
      <c r="C12" s="17" t="n">
        <v>1.5</v>
      </c>
      <c r="D12" s="17" t="n">
        <v>1</v>
      </c>
      <c r="E12" s="17" t="n">
        <v>1</v>
      </c>
      <c r="F12" s="17" t="n">
        <v>1.5</v>
      </c>
      <c r="G12" s="17" t="n">
        <v>1</v>
      </c>
    </row>
    <row r="14" customFormat="false" ht="15" hidden="false" customHeight="false" outlineLevel="0" collapsed="false">
      <c r="A14" s="1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15"/>
  </cols>
  <sheetData>
    <row r="1" customFormat="false" ht="21.6" hidden="false" customHeight="false" outlineLevel="0" collapsed="false">
      <c r="A1" s="5" t="s">
        <v>102</v>
      </c>
    </row>
    <row r="2" customFormat="false" ht="15" hidden="false" customHeight="false" outlineLevel="0" collapsed="false">
      <c r="A2" s="14" t="s">
        <v>103</v>
      </c>
    </row>
    <row r="4" customFormat="false" ht="15" hidden="false" customHeight="false" outlineLevel="0" collapsed="false">
      <c r="A4" s="7" t="s">
        <v>94</v>
      </c>
      <c r="B4" s="7" t="s">
        <v>95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</row>
    <row r="5" customFormat="false" ht="15" hidden="false" customHeight="false" outlineLevel="0" collapsed="false">
      <c r="A5" s="10" t="s">
        <v>84</v>
      </c>
      <c r="B5" s="10" t="s">
        <v>96</v>
      </c>
      <c r="C5" s="16" t="n">
        <f aca="false">SUMIFS(加工鏈!$I$5:$I$8,加工鏈!$E$5:$E$8,$A5,加工鏈!$A$5:$A$8,C$4)+SUMIFS(加工鏈!$J$5:$J$8,加工鏈!$G$5:$G$8,$A5,加工鏈!$A$5:$A$8,C$4)</f>
        <v>16</v>
      </c>
      <c r="D5" s="16" t="n">
        <f aca="false">SUMIFS(加工鏈!$I$5:$I$8,加工鏈!$E$5:$E$8,$A5,加工鏈!$A$5:$A$8,D$4)+SUMIFS(加工鏈!$J$5:$J$8,加工鏈!$G$5:$G$8,$A5,加工鏈!$A$5:$A$8,D$4)</f>
        <v>0</v>
      </c>
      <c r="E5" s="16" t="n">
        <f aca="false">SUMIFS(加工鏈!$I$5:$I$8,加工鏈!$E$5:$E$8,$A5,加工鏈!$A$5:$A$8,E$4)+SUMIFS(加工鏈!$J$5:$J$8,加工鏈!$G$5:$G$8,$A5,加工鏈!$A$5:$A$8,E$4)</f>
        <v>3</v>
      </c>
      <c r="F5" s="16" t="n">
        <f aca="false">SUMIFS(加工鏈!$I$5:$I$8,加工鏈!$E$5:$E$8,$A5,加工鏈!$A$5:$A$8,F$4)+SUMIFS(加工鏈!$J$5:$J$8,加工鏈!$G$5:$G$8,$A5,加工鏈!$A$5:$A$8,F$4)</f>
        <v>0</v>
      </c>
      <c r="G5" s="16" t="n">
        <f aca="false">SUMIFS(加工鏈!$I$5:$I$8,加工鏈!$E$5:$E$8,$A5,加工鏈!$A$5:$A$8,G$4)+SUMIFS(加工鏈!$J$5:$J$8,加工鏈!$G$5:$G$8,$A5,加工鏈!$A$5:$A$8,G$4)</f>
        <v>0</v>
      </c>
    </row>
    <row r="6" customFormat="false" ht="15" hidden="false" customHeight="false" outlineLevel="0" collapsed="false">
      <c r="A6" s="10" t="s">
        <v>85</v>
      </c>
      <c r="B6" s="10" t="s">
        <v>96</v>
      </c>
      <c r="C6" s="16" t="n">
        <f aca="false">SUMIFS(加工鏈!$I$5:$I$8,加工鏈!$E$5:$E$8,$A6,加工鏈!$A$5:$A$8,C$4)+SUMIFS(加工鏈!$J$5:$J$8,加工鏈!$G$5:$G$8,$A6,加工鏈!$A$5:$A$8,C$4)</f>
        <v>4</v>
      </c>
      <c r="D6" s="16" t="n">
        <f aca="false">SUMIFS(加工鏈!$I$5:$I$8,加工鏈!$E$5:$E$8,$A6,加工鏈!$A$5:$A$8,D$4)+SUMIFS(加工鏈!$J$5:$J$8,加工鏈!$G$5:$G$8,$A6,加工鏈!$A$5:$A$8,D$4)</f>
        <v>3</v>
      </c>
      <c r="E6" s="16" t="n">
        <f aca="false">SUMIFS(加工鏈!$I$5:$I$8,加工鏈!$E$5:$E$8,$A6,加工鏈!$A$5:$A$8,E$4)+SUMIFS(加工鏈!$J$5:$J$8,加工鏈!$G$5:$G$8,$A6,加工鏈!$A$5:$A$8,E$4)</f>
        <v>0</v>
      </c>
      <c r="F6" s="16" t="n">
        <f aca="false">SUMIFS(加工鏈!$I$5:$I$8,加工鏈!$E$5:$E$8,$A6,加工鏈!$A$5:$A$8,F$4)+SUMIFS(加工鏈!$J$5:$J$8,加工鏈!$G$5:$G$8,$A6,加工鏈!$A$5:$A$8,F$4)</f>
        <v>12</v>
      </c>
      <c r="G6" s="16" t="n">
        <f aca="false">SUMIFS(加工鏈!$I$5:$I$8,加工鏈!$E$5:$E$8,$A6,加工鏈!$A$5:$A$8,G$4)+SUMIFS(加工鏈!$J$5:$J$8,加工鏈!$G$5:$G$8,$A6,加工鏈!$A$5:$A$8,G$4)</f>
        <v>0</v>
      </c>
    </row>
    <row r="7" customFormat="false" ht="15" hidden="false" customHeight="false" outlineLevel="0" collapsed="false">
      <c r="A7" s="10" t="s">
        <v>90</v>
      </c>
      <c r="B7" s="10" t="s">
        <v>96</v>
      </c>
      <c r="C7" s="16" t="n">
        <f aca="false">SUMIFS(加工鏈!$I$5:$I$8,加工鏈!$E$5:$E$8,$A7,加工鏈!$A$5:$A$8,C$4)+SUMIFS(加工鏈!$J$5:$J$8,加工鏈!$G$5:$G$8,$A7,加工鏈!$A$5:$A$8,C$4)</f>
        <v>0</v>
      </c>
      <c r="D7" s="16" t="n">
        <f aca="false">SUMIFS(加工鏈!$I$5:$I$8,加工鏈!$E$5:$E$8,$A7,加工鏈!$A$5:$A$8,D$4)+SUMIFS(加工鏈!$J$5:$J$8,加工鏈!$G$5:$G$8,$A7,加工鏈!$A$5:$A$8,D$4)</f>
        <v>0</v>
      </c>
      <c r="E7" s="16" t="n">
        <f aca="false">SUMIFS(加工鏈!$I$5:$I$8,加工鏈!$E$5:$E$8,$A7,加工鏈!$A$5:$A$8,E$4)+SUMIFS(加工鏈!$J$5:$J$8,加工鏈!$G$5:$G$8,$A7,加工鏈!$A$5:$A$8,E$4)</f>
        <v>12</v>
      </c>
      <c r="F7" s="16" t="n">
        <f aca="false">SUMIFS(加工鏈!$I$5:$I$8,加工鏈!$E$5:$E$8,$A7,加工鏈!$A$5:$A$8,F$4)+SUMIFS(加工鏈!$J$5:$J$8,加工鏈!$G$5:$G$8,$A7,加工鏈!$A$5:$A$8,F$4)</f>
        <v>0</v>
      </c>
      <c r="G7" s="16" t="n">
        <f aca="false">SUMIFS(加工鏈!$I$5:$I$8,加工鏈!$E$5:$E$8,$A7,加工鏈!$A$5:$A$8,G$4)+SUMIFS(加工鏈!$J$5:$J$8,加工鏈!$G$5:$G$8,$A7,加工鏈!$A$5:$A$8,G$4)</f>
        <v>0</v>
      </c>
    </row>
    <row r="8" customFormat="false" ht="15" hidden="false" customHeight="false" outlineLevel="0" collapsed="false">
      <c r="A8" s="10" t="s">
        <v>88</v>
      </c>
      <c r="B8" s="10" t="s">
        <v>96</v>
      </c>
      <c r="C8" s="16" t="n">
        <f aca="false">SUMIFS(加工鏈!$I$5:$I$8,加工鏈!$E$5:$E$8,$A8,加工鏈!$A$5:$A$8,C$4)+SUMIFS(加工鏈!$J$5:$J$8,加工鏈!$G$5:$G$8,$A8,加工鏈!$A$5:$A$8,C$4)</f>
        <v>0</v>
      </c>
      <c r="D8" s="16" t="n">
        <f aca="false">SUMIFS(加工鏈!$I$5:$I$8,加工鏈!$E$5:$E$8,$A8,加工鏈!$A$5:$A$8,D$4)+SUMIFS(加工鏈!$J$5:$J$8,加工鏈!$G$5:$G$8,$A8,加工鏈!$A$5:$A$8,D$4)</f>
        <v>6</v>
      </c>
      <c r="E8" s="16" t="n">
        <f aca="false">SUMIFS(加工鏈!$I$5:$I$8,加工鏈!$E$5:$E$8,$A8,加工鏈!$A$5:$A$8,E$4)+SUMIFS(加工鏈!$J$5:$J$8,加工鏈!$G$5:$G$8,$A8,加工鏈!$A$5:$A$8,E$4)</f>
        <v>0</v>
      </c>
      <c r="F8" s="16" t="n">
        <f aca="false">SUMIFS(加工鏈!$I$5:$I$8,加工鏈!$E$5:$E$8,$A8,加工鏈!$A$5:$A$8,F$4)+SUMIFS(加工鏈!$J$5:$J$8,加工鏈!$G$5:$G$8,$A8,加工鏈!$A$5:$A$8,F$4)</f>
        <v>0</v>
      </c>
      <c r="G8" s="16" t="n">
        <f aca="false">SUMIFS(加工鏈!$I$5:$I$8,加工鏈!$E$5:$E$8,$A8,加工鏈!$A$5:$A$8,G$4)+SUMIFS(加工鏈!$J$5:$J$8,加工鏈!$G$5:$G$8,$A8,加工鏈!$A$5:$A$8,G$4)</f>
        <v>0</v>
      </c>
    </row>
    <row r="9" customFormat="false" ht="15" hidden="false" customHeight="false" outlineLevel="0" collapsed="false">
      <c r="A9" s="10" t="s">
        <v>83</v>
      </c>
      <c r="B9" s="10" t="s">
        <v>97</v>
      </c>
      <c r="C9" s="16" t="n">
        <f aca="false">SUMIFS(加工鏈!$I$5:$I$8,加工鏈!$E$5:$E$8,$A9,加工鏈!$A$5:$A$8,C$4)+SUMIFS(加工鏈!$J$5:$J$8,加工鏈!$G$5:$G$8,$A9,加工鏈!$A$5:$A$8,C$4)</f>
        <v>0</v>
      </c>
      <c r="D9" s="16" t="n">
        <f aca="false">SUMIFS(加工鏈!$I$5:$I$8,加工鏈!$E$5:$E$8,$A9,加工鏈!$A$5:$A$8,D$4)+SUMIFS(加工鏈!$J$5:$J$8,加工鏈!$G$5:$G$8,$A9,加工鏈!$A$5:$A$8,D$4)</f>
        <v>0</v>
      </c>
      <c r="E9" s="16" t="n">
        <f aca="false">SUMIFS(加工鏈!$I$5:$I$8,加工鏈!$E$5:$E$8,$A9,加工鏈!$A$5:$A$8,E$4)+SUMIFS(加工鏈!$J$5:$J$8,加工鏈!$G$5:$G$8,$A9,加工鏈!$A$5:$A$8,E$4)</f>
        <v>0</v>
      </c>
      <c r="F9" s="16" t="n">
        <f aca="false">SUMIFS(加工鏈!$I$5:$I$8,加工鏈!$E$5:$E$8,$A9,加工鏈!$A$5:$A$8,F$4)+SUMIFS(加工鏈!$J$5:$J$8,加工鏈!$G$5:$G$8,$A9,加工鏈!$A$5:$A$8,F$4)</f>
        <v>1.5</v>
      </c>
      <c r="G9" s="16" t="n">
        <f aca="false">SUMIFS(加工鏈!$I$5:$I$8,加工鏈!$E$5:$E$8,$A9,加工鏈!$A$5:$A$8,G$4)+SUMIFS(加工鏈!$J$5:$J$8,加工鏈!$G$5:$G$8,$A9,加工鏈!$A$5:$A$8,G$4)</f>
        <v>0</v>
      </c>
    </row>
    <row r="10" customFormat="false" ht="15" hidden="false" customHeight="false" outlineLevel="0" collapsed="false">
      <c r="A10" s="10" t="s">
        <v>86</v>
      </c>
      <c r="B10" s="10" t="s">
        <v>97</v>
      </c>
      <c r="C10" s="16" t="n">
        <f aca="false">SUMIFS(加工鏈!$I$5:$I$8,加工鏈!$E$5:$E$8,$A10,加工鏈!$A$5:$A$8,C$4)+SUMIFS(加工鏈!$J$5:$J$8,加工鏈!$G$5:$G$8,$A10,加工鏈!$A$5:$A$8,C$4)</f>
        <v>0</v>
      </c>
      <c r="D10" s="16" t="n">
        <f aca="false">SUMIFS(加工鏈!$I$5:$I$8,加工鏈!$E$5:$E$8,$A10,加工鏈!$A$5:$A$8,D$4)+SUMIFS(加工鏈!$J$5:$J$8,加工鏈!$G$5:$G$8,$A10,加工鏈!$A$5:$A$8,D$4)</f>
        <v>0</v>
      </c>
      <c r="E10" s="16" t="n">
        <f aca="false">SUMIFS(加工鏈!$I$5:$I$8,加工鏈!$E$5:$E$8,$A10,加工鏈!$A$5:$A$8,E$4)+SUMIFS(加工鏈!$J$5:$J$8,加工鏈!$G$5:$G$8,$A10,加工鏈!$A$5:$A$8,E$4)</f>
        <v>0</v>
      </c>
      <c r="F10" s="16" t="n">
        <f aca="false">SUMIFS(加工鏈!$I$5:$I$8,加工鏈!$E$5:$E$8,$A10,加工鏈!$A$5:$A$8,F$4)+SUMIFS(加工鏈!$J$5:$J$8,加工鏈!$G$5:$G$8,$A10,加工鏈!$A$5:$A$8,F$4)</f>
        <v>0</v>
      </c>
      <c r="G10" s="16" t="n">
        <f aca="false">SUMIFS(加工鏈!$I$5:$I$8,加工鏈!$E$5:$E$8,$A10,加工鏈!$A$5:$A$8,G$4)+SUMIFS(加工鏈!$J$5:$J$8,加工鏈!$G$5:$G$8,$A10,加工鏈!$A$5:$A$8,G$4)</f>
        <v>0</v>
      </c>
    </row>
    <row r="11" customFormat="false" ht="15" hidden="false" customHeight="false" outlineLevel="0" collapsed="false">
      <c r="A11" s="10" t="s">
        <v>87</v>
      </c>
      <c r="B11" s="10" t="s">
        <v>97</v>
      </c>
      <c r="C11" s="16" t="n">
        <f aca="false">SUMIFS(加工鏈!$I$5:$I$8,加工鏈!$E$5:$E$8,$A11,加工鏈!$A$5:$A$8,C$4)+SUMIFS(加工鏈!$J$5:$J$8,加工鏈!$G$5:$G$8,$A11,加工鏈!$A$5:$A$8,C$4)</f>
        <v>0</v>
      </c>
      <c r="D11" s="16" t="n">
        <f aca="false">SUMIFS(加工鏈!$I$5:$I$8,加工鏈!$E$5:$E$8,$A11,加工鏈!$A$5:$A$8,D$4)+SUMIFS(加工鏈!$J$5:$J$8,加工鏈!$G$5:$G$8,$A11,加工鏈!$A$5:$A$8,D$4)</f>
        <v>0</v>
      </c>
      <c r="E11" s="16" t="n">
        <f aca="false">SUMIFS(加工鏈!$I$5:$I$8,加工鏈!$E$5:$E$8,$A11,加工鏈!$A$5:$A$8,E$4)+SUMIFS(加工鏈!$J$5:$J$8,加工鏈!$G$5:$G$8,$A11,加工鏈!$A$5:$A$8,E$4)</f>
        <v>0</v>
      </c>
      <c r="F11" s="16" t="n">
        <f aca="false">SUMIFS(加工鏈!$I$5:$I$8,加工鏈!$E$5:$E$8,$A11,加工鏈!$A$5:$A$8,F$4)+SUMIFS(加工鏈!$J$5:$J$8,加工鏈!$G$5:$G$8,$A11,加工鏈!$A$5:$A$8,F$4)</f>
        <v>0</v>
      </c>
      <c r="G11" s="16" t="n">
        <f aca="false">SUMIFS(加工鏈!$I$5:$I$8,加工鏈!$E$5:$E$8,$A11,加工鏈!$A$5:$A$8,G$4)+SUMIFS(加工鏈!$J$5:$J$8,加工鏈!$G$5:$G$8,$A11,加工鏈!$A$5:$A$8,G$4)</f>
        <v>0</v>
      </c>
    </row>
    <row r="12" customFormat="false" ht="15" hidden="false" customHeight="false" outlineLevel="0" collapsed="false">
      <c r="A12" s="10" t="s">
        <v>89</v>
      </c>
      <c r="B12" s="10" t="s">
        <v>97</v>
      </c>
      <c r="C12" s="16" t="n">
        <f aca="false">SUMIFS(加工鏈!$I$5:$I$8,加工鏈!$E$5:$E$8,$A12,加工鏈!$A$5:$A$8,C$4)+SUMIFS(加工鏈!$J$5:$J$8,加工鏈!$G$5:$G$8,$A12,加工鏈!$A$5:$A$8,C$4)</f>
        <v>0</v>
      </c>
      <c r="D12" s="16" t="n">
        <f aca="false">SUMIFS(加工鏈!$I$5:$I$8,加工鏈!$E$5:$E$8,$A12,加工鏈!$A$5:$A$8,D$4)+SUMIFS(加工鏈!$J$5:$J$8,加工鏈!$G$5:$G$8,$A12,加工鏈!$A$5:$A$8,D$4)</f>
        <v>0</v>
      </c>
      <c r="E12" s="16" t="n">
        <f aca="false">SUMIFS(加工鏈!$I$5:$I$8,加工鏈!$E$5:$E$8,$A12,加工鏈!$A$5:$A$8,E$4)+SUMIFS(加工鏈!$J$5:$J$8,加工鏈!$G$5:$G$8,$A12,加工鏈!$A$5:$A$8,E$4)</f>
        <v>0</v>
      </c>
      <c r="F12" s="16" t="n">
        <f aca="false">SUMIFS(加工鏈!$I$5:$I$8,加工鏈!$E$5:$E$8,$A12,加工鏈!$A$5:$A$8,F$4)+SUMIFS(加工鏈!$J$5:$J$8,加工鏈!$G$5:$G$8,$A12,加工鏈!$A$5:$A$8,F$4)</f>
        <v>0</v>
      </c>
      <c r="G12" s="16" t="n">
        <f aca="false">SUMIFS(加工鏈!$I$5:$I$8,加工鏈!$E$5:$E$8,$A12,加工鏈!$A$5:$A$8,G$4)+SUMIFS(加工鏈!$J$5:$J$8,加工鏈!$G$5:$G$8,$A12,加工鏈!$A$5:$A$8,G$4)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7" min="3" style="0" width="15"/>
    <col collapsed="false" customWidth="true" hidden="false" outlineLevel="0" max="11" min="8" style="0" width="12"/>
  </cols>
  <sheetData>
    <row r="1" customFormat="false" ht="21.6" hidden="false" customHeight="false" outlineLevel="0" collapsed="false">
      <c r="A1" s="5" t="s">
        <v>104</v>
      </c>
    </row>
    <row r="2" customFormat="false" ht="15" hidden="false" customHeight="false" outlineLevel="0" collapsed="false">
      <c r="A2" s="2" t="s">
        <v>105</v>
      </c>
      <c r="C2" s="18" t="n">
        <v>0.1</v>
      </c>
      <c r="D2" s="14" t="s">
        <v>106</v>
      </c>
    </row>
    <row r="4" customFormat="false" ht="15" hidden="false" customHeight="false" outlineLevel="0" collapsed="false">
      <c r="A4" s="7" t="s">
        <v>94</v>
      </c>
      <c r="B4" s="7" t="s">
        <v>95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107</v>
      </c>
      <c r="I4" s="7" t="s">
        <v>108</v>
      </c>
      <c r="J4" s="7" t="s">
        <v>109</v>
      </c>
      <c r="K4" s="7" t="s">
        <v>69</v>
      </c>
    </row>
    <row r="5" customFormat="false" ht="15" hidden="false" customHeight="false" outlineLevel="0" collapsed="false">
      <c r="A5" s="10" t="s">
        <v>84</v>
      </c>
      <c r="B5" s="10" t="s">
        <v>96</v>
      </c>
      <c r="C5" s="16" t="n">
        <f aca="false">ROUND(生產!C5-居民消耗!C5-加工消耗!C5,2)</f>
        <v>4</v>
      </c>
      <c r="D5" s="16" t="n">
        <f aca="false">ROUND(生產!D5-居民消耗!D5-加工消耗!D5,2)</f>
        <v>0</v>
      </c>
      <c r="E5" s="16" t="n">
        <f aca="false">ROUND(生產!E5-居民消耗!E5-加工消耗!E5,2)</f>
        <v>-3</v>
      </c>
      <c r="F5" s="16" t="n">
        <f aca="false">ROUND(生產!F5-居民消耗!F5-加工消耗!F5,2)</f>
        <v>0</v>
      </c>
      <c r="G5" s="16" t="n">
        <f aca="false">ROUND(生產!G5-居民消耗!G5-加工消耗!G5,2)</f>
        <v>0</v>
      </c>
      <c r="H5" s="16" t="n">
        <f aca="false">SUM(生產!C5:G5)</f>
        <v>20</v>
      </c>
      <c r="I5" s="16" t="n">
        <f aca="false">SUM(居民消耗!C5:G5)+SUM(加工消耗!C5:G5)</f>
        <v>19</v>
      </c>
      <c r="J5" s="16" t="n">
        <f aca="false">ROUND(H5-I5,2)</f>
        <v>1</v>
      </c>
      <c r="K5" s="13" t="str">
        <f aca="false">IF(I5=0,"無需求",IF(J5&lt;-$C$2*I5,"短缺",IF(J5&gt;$C$2*I5,"過剩","平衡")))</f>
        <v>平衡</v>
      </c>
    </row>
    <row r="6" customFormat="false" ht="15" hidden="false" customHeight="false" outlineLevel="0" collapsed="false">
      <c r="A6" s="10" t="s">
        <v>85</v>
      </c>
      <c r="B6" s="10" t="s">
        <v>96</v>
      </c>
      <c r="C6" s="16" t="n">
        <f aca="false">ROUND(生產!C6-居民消耗!C6-加工消耗!C6,2)</f>
        <v>-5</v>
      </c>
      <c r="D6" s="16" t="n">
        <f aca="false">ROUND(生產!D6-居民消耗!D6-加工消耗!D6,2)</f>
        <v>-4</v>
      </c>
      <c r="E6" s="16" t="n">
        <f aca="false">ROUND(生產!E6-居民消耗!E6-加工消耗!E6,2)</f>
        <v>-1</v>
      </c>
      <c r="F6" s="16" t="n">
        <f aca="false">ROUND(生產!F6-居民消耗!F6-加工消耗!F6,2)</f>
        <v>11</v>
      </c>
      <c r="G6" s="16" t="n">
        <f aca="false">ROUND(生產!G6-居民消耗!G6-加工消耗!G6,2)</f>
        <v>0</v>
      </c>
      <c r="H6" s="16" t="n">
        <f aca="false">SUM(生產!C6:G6)</f>
        <v>24</v>
      </c>
      <c r="I6" s="16" t="n">
        <f aca="false">SUM(居民消耗!C6:G6)+SUM(加工消耗!C6:G6)</f>
        <v>23</v>
      </c>
      <c r="J6" s="16" t="n">
        <f aca="false">ROUND(H6-I6,2)</f>
        <v>1</v>
      </c>
      <c r="K6" s="13" t="str">
        <f aca="false">IF(I6=0,"無需求",IF(J6&lt;-$C$2*I6,"短缺",IF(J6&gt;$C$2*I6,"過剩","平衡")))</f>
        <v>平衡</v>
      </c>
    </row>
    <row r="7" customFormat="false" ht="15" hidden="false" customHeight="false" outlineLevel="0" collapsed="false">
      <c r="A7" s="10" t="s">
        <v>90</v>
      </c>
      <c r="B7" s="10" t="s">
        <v>96</v>
      </c>
      <c r="C7" s="16" t="n">
        <f aca="false">ROUND(生產!C7-居民消耗!C7-加工消耗!C7,2)</f>
        <v>-5</v>
      </c>
      <c r="D7" s="16" t="n">
        <f aca="false">ROUND(生產!D7-居民消耗!D7-加工消耗!D7,2)</f>
        <v>-5</v>
      </c>
      <c r="E7" s="16" t="n">
        <f aca="false">ROUND(生產!E7-居民消耗!E7-加工消耗!E7,2)</f>
        <v>19</v>
      </c>
      <c r="F7" s="16" t="n">
        <f aca="false">ROUND(生產!F7-居民消耗!F7-加工消耗!F7,2)</f>
        <v>-5</v>
      </c>
      <c r="G7" s="16" t="n">
        <f aca="false">ROUND(生產!G7-居民消耗!G7-加工消耗!G7,2)</f>
        <v>-4</v>
      </c>
      <c r="H7" s="16" t="n">
        <f aca="false">SUM(生產!C7:G7)</f>
        <v>36</v>
      </c>
      <c r="I7" s="16" t="n">
        <f aca="false">SUM(居民消耗!C7:G7)+SUM(加工消耗!C7:G7)</f>
        <v>36</v>
      </c>
      <c r="J7" s="16" t="n">
        <f aca="false">ROUND(H7-I7,2)</f>
        <v>0</v>
      </c>
      <c r="K7" s="13" t="str">
        <f aca="false">IF(I7=0,"無需求",IF(J7&lt;-$C$2*I7,"短缺",IF(J7&gt;$C$2*I7,"過剩","平衡")))</f>
        <v>平衡</v>
      </c>
    </row>
    <row r="8" customFormat="false" ht="15" hidden="false" customHeight="false" outlineLevel="0" collapsed="false">
      <c r="A8" s="10" t="s">
        <v>88</v>
      </c>
      <c r="B8" s="10" t="s">
        <v>96</v>
      </c>
      <c r="C8" s="16" t="n">
        <f aca="false">ROUND(生產!C8-居民消耗!C8-加工消耗!C8,2)</f>
        <v>-5</v>
      </c>
      <c r="D8" s="16" t="n">
        <f aca="false">ROUND(生產!D8-居民消耗!D8-加工消耗!D8,2)</f>
        <v>13</v>
      </c>
      <c r="E8" s="16" t="n">
        <f aca="false">ROUND(生產!E8-居民消耗!E8-加工消耗!E8,2)</f>
        <v>-3</v>
      </c>
      <c r="F8" s="16" t="n">
        <f aca="false">ROUND(生產!F8-居民消耗!F8-加工消耗!F8,2)</f>
        <v>-3</v>
      </c>
      <c r="G8" s="16" t="n">
        <f aca="false">ROUND(生產!G8-居民消耗!G8-加工消耗!G8,2)</f>
        <v>-2</v>
      </c>
      <c r="H8" s="16" t="n">
        <f aca="false">SUM(生產!C8:G8)</f>
        <v>24</v>
      </c>
      <c r="I8" s="16" t="n">
        <f aca="false">SUM(居民消耗!C8:G8)+SUM(加工消耗!C8:G8)</f>
        <v>24</v>
      </c>
      <c r="J8" s="16" t="n">
        <f aca="false">ROUND(H8-I8,2)</f>
        <v>0</v>
      </c>
      <c r="K8" s="13" t="str">
        <f aca="false">IF(I8=0,"無需求",IF(J8&lt;-$C$2*I8,"短缺",IF(J8&gt;$C$2*I8,"過剩","平衡")))</f>
        <v>平衡</v>
      </c>
    </row>
    <row r="9" customFormat="false" ht="15" hidden="false" customHeight="false" outlineLevel="0" collapsed="false">
      <c r="A9" s="10" t="s">
        <v>83</v>
      </c>
      <c r="B9" s="10" t="s">
        <v>97</v>
      </c>
      <c r="C9" s="16" t="n">
        <f aca="false">ROUND(生產!C9-居民消耗!C9-加工消耗!C9,2)</f>
        <v>6.5</v>
      </c>
      <c r="D9" s="16" t="n">
        <f aca="false">ROUND(生產!D9-居民消耗!D9-加工消耗!D9,2)</f>
        <v>-1.5</v>
      </c>
      <c r="E9" s="16" t="n">
        <f aca="false">ROUND(生產!E9-居民消耗!E9-加工消耗!E9,2)</f>
        <v>-2</v>
      </c>
      <c r="F9" s="16" t="n">
        <f aca="false">ROUND(生產!F9-居民消耗!F9-加工消耗!F9,2)</f>
        <v>-3</v>
      </c>
      <c r="G9" s="16" t="n">
        <f aca="false">ROUND(生產!G9-居民消耗!G9-加工消耗!G9,2)</f>
        <v>0</v>
      </c>
      <c r="H9" s="16" t="n">
        <f aca="false">SUM(生產!C9:G9)</f>
        <v>8</v>
      </c>
      <c r="I9" s="16" t="n">
        <f aca="false">SUM(居民消耗!C9:G9)+SUM(加工消耗!C9:G9)</f>
        <v>8</v>
      </c>
      <c r="J9" s="16" t="n">
        <f aca="false">ROUND(H9-I9,2)</f>
        <v>0</v>
      </c>
      <c r="K9" s="13" t="str">
        <f aca="false">IF(I9=0,"無需求",IF(J9&lt;-$C$2*I9,"短缺",IF(J9&gt;$C$2*I9,"過剩","平衡")))</f>
        <v>平衡</v>
      </c>
    </row>
    <row r="10" customFormat="false" ht="15" hidden="false" customHeight="false" outlineLevel="0" collapsed="false">
      <c r="A10" s="10" t="s">
        <v>86</v>
      </c>
      <c r="B10" s="10" t="s">
        <v>97</v>
      </c>
      <c r="C10" s="16" t="n">
        <f aca="false">ROUND(生產!C10-居民消耗!C10-加工消耗!C10,2)</f>
        <v>-1.5</v>
      </c>
      <c r="D10" s="16" t="n">
        <f aca="false">ROUND(生產!D10-居民消耗!D10-加工消耗!D10,2)</f>
        <v>-1</v>
      </c>
      <c r="E10" s="16" t="n">
        <f aca="false">ROUND(生產!E10-居民消耗!E10-加工消耗!E10,2)</f>
        <v>-1.5</v>
      </c>
      <c r="F10" s="16" t="n">
        <f aca="false">ROUND(生產!F10-居民消耗!F10-加工消耗!F10,2)</f>
        <v>5</v>
      </c>
      <c r="G10" s="16" t="n">
        <f aca="false">ROUND(生產!G10-居民消耗!G10-加工消耗!G10,2)</f>
        <v>-1</v>
      </c>
      <c r="H10" s="16" t="n">
        <f aca="false">SUM(生產!C10:G10)</f>
        <v>6</v>
      </c>
      <c r="I10" s="16" t="n">
        <f aca="false">SUM(居民消耗!C10:G10)+SUM(加工消耗!C10:G10)</f>
        <v>6</v>
      </c>
      <c r="J10" s="16" t="n">
        <f aca="false">ROUND(H10-I10,2)</f>
        <v>0</v>
      </c>
      <c r="K10" s="13" t="str">
        <f aca="false">IF(I10=0,"無需求",IF(J10&lt;-$C$2*I10,"短缺",IF(J10&gt;$C$2*I10,"過剩","平衡")))</f>
        <v>平衡</v>
      </c>
    </row>
    <row r="11" customFormat="false" ht="15" hidden="false" customHeight="false" outlineLevel="0" collapsed="false">
      <c r="A11" s="10" t="s">
        <v>87</v>
      </c>
      <c r="B11" s="10" t="s">
        <v>97</v>
      </c>
      <c r="C11" s="16" t="n">
        <f aca="false">ROUND(生產!C11-居民消耗!C11-加工消耗!C11,2)</f>
        <v>-1.5</v>
      </c>
      <c r="D11" s="16" t="n">
        <f aca="false">ROUND(生產!D11-居民消耗!D11-加工消耗!D11,2)</f>
        <v>5</v>
      </c>
      <c r="E11" s="16" t="n">
        <f aca="false">ROUND(生產!E11-居民消耗!E11-加工消耗!E11,2)</f>
        <v>-1</v>
      </c>
      <c r="F11" s="16" t="n">
        <f aca="false">ROUND(生產!F11-居民消耗!F11-加工消耗!F11,2)</f>
        <v>-1</v>
      </c>
      <c r="G11" s="16" t="n">
        <f aca="false">ROUND(生產!G11-居民消耗!G11-加工消耗!G11,2)</f>
        <v>-0.5</v>
      </c>
      <c r="H11" s="16" t="n">
        <f aca="false">SUM(生產!C11:G11)</f>
        <v>6</v>
      </c>
      <c r="I11" s="16" t="n">
        <f aca="false">SUM(居民消耗!C11:G11)+SUM(加工消耗!C11:G11)</f>
        <v>5</v>
      </c>
      <c r="J11" s="16" t="n">
        <f aca="false">ROUND(H11-I11,2)</f>
        <v>1</v>
      </c>
      <c r="K11" s="13" t="str">
        <f aca="false">IF(I11=0,"無需求",IF(J11&lt;-$C$2*I11,"短缺",IF(J11&gt;$C$2*I11,"過剩","平衡")))</f>
        <v>過剩</v>
      </c>
    </row>
    <row r="12" customFormat="false" ht="15" hidden="false" customHeight="false" outlineLevel="0" collapsed="false">
      <c r="A12" s="10" t="s">
        <v>89</v>
      </c>
      <c r="B12" s="10" t="s">
        <v>97</v>
      </c>
      <c r="C12" s="16" t="n">
        <f aca="false">ROUND(生產!C12-居民消耗!C12-加工消耗!C12,2)</f>
        <v>-1.5</v>
      </c>
      <c r="D12" s="16" t="n">
        <f aca="false">ROUND(生產!D12-居民消耗!D12-加工消耗!D12,2)</f>
        <v>-1</v>
      </c>
      <c r="E12" s="16" t="n">
        <f aca="false">ROUND(生產!E12-居民消耗!E12-加工消耗!E12,2)</f>
        <v>5</v>
      </c>
      <c r="F12" s="16" t="n">
        <f aca="false">ROUND(生產!F12-居民消耗!F12-加工消耗!F12,2)</f>
        <v>-1.5</v>
      </c>
      <c r="G12" s="16" t="n">
        <f aca="false">ROUND(生產!G12-居民消耗!G12-加工消耗!G12,2)</f>
        <v>-1</v>
      </c>
      <c r="H12" s="16" t="n">
        <f aca="false">SUM(生產!C12:G12)</f>
        <v>6</v>
      </c>
      <c r="I12" s="16" t="n">
        <f aca="false">SUM(居民消耗!C12:G12)+SUM(加工消耗!C12:G12)</f>
        <v>6</v>
      </c>
      <c r="J12" s="16" t="n">
        <f aca="false">ROUND(H12-I12,2)</f>
        <v>0</v>
      </c>
      <c r="K12" s="13" t="str">
        <f aca="false">IF(I12=0,"無需求",IF(J12&lt;-$C$2*I12,"短缺",IF(J12&gt;$C$2*I12,"過剩","平衡")))</f>
        <v>平衡</v>
      </c>
    </row>
    <row r="14" customFormat="false" ht="15" hidden="false" customHeight="false" outlineLevel="0" collapsed="false">
      <c r="A14" s="2" t="s">
        <v>110</v>
      </c>
      <c r="C14" s="10" t="n">
        <f aca="false">COUNTIF(C5:C12,"&lt;0")</f>
        <v>6</v>
      </c>
      <c r="D14" s="10" t="n">
        <f aca="false">COUNTIF(D5:D12,"&lt;0")</f>
        <v>5</v>
      </c>
      <c r="E14" s="10" t="n">
        <f aca="false">COUNTIF(E5:E12,"&lt;0")</f>
        <v>6</v>
      </c>
      <c r="F14" s="10" t="n">
        <f aca="false">COUNTIF(F5:F12,"&lt;0")</f>
        <v>5</v>
      </c>
      <c r="G14" s="10" t="n">
        <f aca="false">COUNTIF(G5:G12,"&lt;0")</f>
        <v>5</v>
      </c>
    </row>
    <row r="15" customFormat="false" ht="15" hidden="false" customHeight="false" outlineLevel="0" collapsed="false">
      <c r="A15" s="2" t="s">
        <v>111</v>
      </c>
      <c r="C15" s="10" t="n">
        <f aca="false">COUNTIF(C5:C12,"&gt;0")</f>
        <v>2</v>
      </c>
      <c r="D15" s="10" t="n">
        <f aca="false">COUNTIF(D5:D12,"&gt;0")</f>
        <v>2</v>
      </c>
      <c r="E15" s="10" t="n">
        <f aca="false">COUNTIF(E5:E12,"&gt;0")</f>
        <v>2</v>
      </c>
      <c r="F15" s="10" t="n">
        <f aca="false">COUNTIF(F5:F12,"&gt;0")</f>
        <v>2</v>
      </c>
      <c r="G15" s="10" t="n">
        <f aca="false">COUNTIF(G5:G12,"&gt;0")</f>
        <v>0</v>
      </c>
    </row>
    <row r="17" customFormat="false" ht="15" hidden="false" customHeight="false" outlineLevel="0" collapsed="false">
      <c r="A17" s="14" t="s">
        <v>112</v>
      </c>
    </row>
  </sheetData>
  <conditionalFormatting sqref="C5:G12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K5:K12">
    <cfRule type="cellIs" priority="4" operator="equal" aboveAverage="0" equalAverage="0" bottom="0" percent="0" rank="0" text="" dxfId="1">
      <formula>"短缺"</formula>
    </cfRule>
    <cfRule type="cellIs" priority="5" operator="equal" aboveAverage="0" equalAverage="0" bottom="0" percent="0" rank="0" text="" dxfId="2">
      <formula>"過剩"</formula>
    </cfRule>
    <cfRule type="cellIs" priority="6" operator="equal" aboveAverage="0" equalAverage="0" bottom="0" percent="0" rank="0" text="" dxfId="0">
      <formula>"平衡"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2026-10-09T18:07:15Z</dcterms:created>
  <dc:creator>openpyxl</dc:creator>
  <dc:description/>
  <dc:language>en-US</dc:language>
  <cp:lastModifiedBy/>
  <dcterms:modified xsi:type="dcterms:W3CDTF">2026-10-09T18:07:15Z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